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<sst xmlns="http://schemas.openxmlformats.org/spreadsheetml/2006/main" count="175" uniqueCount="102">
  <si>
    <t>年度</t>
  </si>
  <si>
    <t>项目编号</t>
  </si>
  <si>
    <t>项目名称</t>
  </si>
  <si>
    <t>立项日期</t>
  </si>
  <si>
    <t>结题日期</t>
  </si>
  <si>
    <t>项目预算（万元）</t>
  </si>
  <si>
    <t>项目实际支出（万元）</t>
  </si>
  <si>
    <t>项目负责人</t>
  </si>
  <si>
    <t>项目人数</t>
  </si>
  <si>
    <t>立项报告</t>
  </si>
  <si>
    <t>验收报告</t>
  </si>
  <si>
    <t>备注</t>
  </si>
  <si>
    <t>合计支出（万元）</t>
  </si>
  <si>
    <t>2023年</t>
  </si>
  <si>
    <t>2024年</t>
  </si>
  <si>
    <t>RD2401</t>
  </si>
  <si>
    <t>180°双目拼接智能泛光灯摄像机</t>
  </si>
  <si>
    <t>陈勇</t>
  </si>
  <si>
    <t>有</t>
  </si>
  <si>
    <t>无</t>
  </si>
  <si>
    <t>RD2402</t>
  </si>
  <si>
    <t>双目长短焦智能泛光灯摄像机</t>
  </si>
  <si>
    <t>RD2409</t>
  </si>
  <si>
    <t>室内高端可分离式智能摄像机</t>
  </si>
  <si>
    <t>方壮海</t>
  </si>
  <si>
    <t>RD2421</t>
  </si>
  <si>
    <t>4K永久续航AOR电池真全彩摄像机</t>
  </si>
  <si>
    <t>李久明</t>
  </si>
  <si>
    <t>RD2422</t>
  </si>
  <si>
    <t>8K双目全景追踪黑光摄像机</t>
  </si>
  <si>
    <t>王亮</t>
  </si>
  <si>
    <t>RD2423</t>
  </si>
  <si>
    <t>APP版本V4.8</t>
  </si>
  <si>
    <t>彭立群</t>
  </si>
  <si>
    <t>RD2424</t>
  </si>
  <si>
    <t>Reolink商城系统V5.0</t>
  </si>
  <si>
    <t>梁桂宁</t>
  </si>
  <si>
    <t>RD2425</t>
  </si>
  <si>
    <t>SMB系列AI专业安防摄像机</t>
  </si>
  <si>
    <t>吕兰兰</t>
  </si>
  <si>
    <t>RD2426</t>
  </si>
  <si>
    <t>SMB系列澎湃算力智能NVR</t>
  </si>
  <si>
    <t>林春敏</t>
  </si>
  <si>
    <t>RD2427</t>
  </si>
  <si>
    <t>黑光长续航WiFi蜂窝双模摄像机</t>
  </si>
  <si>
    <t>RD2501</t>
  </si>
  <si>
    <t>64路4盘位智能NVR</t>
  </si>
  <si>
    <t>李祯</t>
  </si>
  <si>
    <t>RD2502</t>
  </si>
  <si>
    <t>8K智能摄像机</t>
  </si>
  <si>
    <t>李传岳</t>
  </si>
  <si>
    <t>RD2503</t>
  </si>
  <si>
    <t>Wi-Fi双摄枪球联动摄像机</t>
  </si>
  <si>
    <t>孙礼</t>
  </si>
  <si>
    <t>RD2504</t>
  </si>
  <si>
    <t>云端AI项目</t>
  </si>
  <si>
    <t>凌琳</t>
  </si>
  <si>
    <t>RD2505</t>
  </si>
  <si>
    <t>4轴联动2400万枪球联动摄像机</t>
  </si>
  <si>
    <t>郑英华</t>
  </si>
  <si>
    <t>RD2506</t>
  </si>
  <si>
    <t>仿生双目24MP全景摄像机</t>
  </si>
  <si>
    <t>董文轩</t>
  </si>
  <si>
    <t>RD2507</t>
  </si>
  <si>
    <t>室外电池太阳能泛光灯摄像机</t>
  </si>
  <si>
    <t>黄庆峰</t>
  </si>
  <si>
    <t>RD2508</t>
  </si>
  <si>
    <t>电池双目枪球联动摄像机</t>
  </si>
  <si>
    <t>RD2509</t>
  </si>
  <si>
    <t>超低功耗门铃</t>
  </si>
  <si>
    <t>张军</t>
  </si>
  <si>
    <t>RD2510</t>
  </si>
  <si>
    <t>Reolink边缘智算中枢</t>
  </si>
  <si>
    <t>RD2511</t>
  </si>
  <si>
    <t>超低功耗WiFi磁吸卡片机</t>
  </si>
  <si>
    <t>李浩</t>
  </si>
  <si>
    <t>RD2512</t>
  </si>
  <si>
    <t>内嵌太阳能板低功耗WiFi一体枪机</t>
  </si>
  <si>
    <t>RD2513</t>
  </si>
  <si>
    <t>超低功耗钙钛矿门铃</t>
  </si>
  <si>
    <t>RD2514</t>
  </si>
  <si>
    <t>AI数据标注及管理平台</t>
  </si>
  <si>
    <t>RD2515</t>
  </si>
  <si>
    <t>项目管理系统</t>
  </si>
  <si>
    <t>黄阳</t>
  </si>
  <si>
    <t>RD2516</t>
  </si>
  <si>
    <t>15MP三目枪球联动摄像机</t>
  </si>
  <si>
    <t>RD2517</t>
  </si>
  <si>
    <t>夜视全彩超长续航4G摄像机</t>
  </si>
  <si>
    <t>王建飞</t>
  </si>
  <si>
    <t>RD2518</t>
  </si>
  <si>
    <t>智能动物探测追踪相机</t>
  </si>
  <si>
    <t>范向晨</t>
  </si>
  <si>
    <t>RD2519</t>
  </si>
  <si>
    <t>高性价比双拼极薄超清相机</t>
  </si>
  <si>
    <t>RD2520</t>
  </si>
  <si>
    <t>自训练智慧存储AI家庭中心</t>
  </si>
  <si>
    <t>陈磊</t>
  </si>
  <si>
    <t>Reolink VMS PC客户端版本v1.0</t>
  </si>
  <si>
    <t>杨玉芳</t>
  </si>
  <si>
    <t>Reolink手机应用软件V4.9</t>
  </si>
  <si>
    <t>张磊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</si>
</sst>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\-d;@"/>
    <numFmt numFmtId="178" formatCode="0.00_ 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rgb="FF000000"/>
      <name val="宋体"/>
      <charset val="134"/>
    </font>
    <font>
      <b/>
      <sz val="10"/>
      <color rgb="FF000000"/>
      <name val="宋体"/>
      <charset val="134"/>
    </font>
    <font>
      <sz val="8"/>
      <color rgb="FF000000"/>
      <name val="Times New Roman"/>
      <charset val="134"/>
    </font>
    <font>
      <sz val="10"/>
      <color rgb="FF000000"/>
      <name val="宋体"/>
      <charset val="134"/>
    </font>
    <font>
      <sz val="8"/>
      <name val="宋体"/>
      <charset val="134"/>
    </font>
    <font>
      <sz val="8"/>
      <color rgb="FF000000"/>
      <name val="Times New Roman Regular"/>
      <charset val="134"/>
    </font>
    <font>
      <sz val="8"/>
      <color rgb="FFFF0000"/>
      <name val="宋体"/>
      <charset val="134"/>
    </font>
    <font>
      <sz val="8"/>
      <color rgb="FF000000"/>
      <name val="宋体"/>
      <charset val="134"/>
    </font>
    <font>
      <sz val="10"/>
      <name val="宋体"/>
      <charset val="134"/>
    </font>
    <font>
      <sz val="8"/>
      <name val="Times New Roman Regular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10"/>
      <color rgb="FFFF0000"/>
      <name val="宋体"/>
      <charset val="134"/>
    </font>
    <font>
      <sz val="8"/>
      <color rgb="FFFF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7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8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3" fillId="0" borderId="0">
      <alignment vertical="center"/>
    </xf>
    <xf numFmtId="0" fontId="24" fillId="5" borderId="10">
      <alignment vertical="center"/>
    </xf>
    <xf numFmtId="0" fontId="25" fillId="6" borderId="11">
      <alignment vertical="center"/>
    </xf>
    <xf numFmtId="0" fontId="26" fillId="6" borderId="10">
      <alignment vertical="center"/>
    </xf>
    <xf numFmtId="0" fontId="27" fillId="7" borderId="12">
      <alignment vertical="center"/>
    </xf>
    <xf numFmtId="0" fontId="28" fillId="0" borderId="13">
      <alignment vertical="center"/>
    </xf>
    <xf numFmtId="0" fontId="29" fillId="0" borderId="14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shrinkToFit="1"/>
    </xf>
    <xf numFmtId="176" fontId="2" fillId="0" borderId="1" xfId="0" applyNumberFormat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wrapText="1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wrapText="1" shrinkToFit="1"/>
    </xf>
    <xf numFmtId="0" fontId="2" fillId="0" borderId="4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  <xf numFmtId="177" fontId="6" fillId="0" borderId="1" xfId="0" applyNumberFormat="1" applyFont="1" applyFill="1" applyBorder="1" applyAlignment="1">
      <alignment horizontal="left" vertical="center" shrinkToFit="1"/>
    </xf>
    <xf numFmtId="43" fontId="7" fillId="0" borderId="1" xfId="1" applyFont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left" vertical="center" shrinkToFit="1"/>
    </xf>
    <xf numFmtId="43" fontId="11" fillId="0" borderId="1" xfId="1" applyFont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left" vertical="center" shrinkToFit="1"/>
    </xf>
    <xf numFmtId="43" fontId="11" fillId="0" borderId="1" xfId="1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center" vertical="center" shrinkToFit="1"/>
    </xf>
    <xf numFmtId="178" fontId="9" fillId="0" borderId="1" xfId="0" applyNumberFormat="1" applyFont="1" applyFill="1" applyBorder="1" applyAlignment="1">
      <alignment horizontal="left" vertical="center" shrinkToFit="1"/>
    </xf>
    <xf numFmtId="43" fontId="11" fillId="2" borderId="1" xfId="1" applyFont="1" applyFill="1" applyBorder="1" applyAlignment="1">
      <alignment horizontal="left" vertical="center" shrinkToFit="1"/>
    </xf>
    <xf numFmtId="0" fontId="9" fillId="0" borderId="1" xfId="0" applyFont="1" applyFill="1" applyBorder="1" applyAlignment="1" applyProtection="1">
      <alignment horizontal="left" vertical="center" shrinkToFit="1"/>
      <protection locked="0"/>
    </xf>
    <xf numFmtId="0" fontId="10" fillId="3" borderId="1" xfId="0" applyFont="1" applyFill="1" applyBorder="1" applyAlignment="1">
      <alignment horizontal="left" vertical="center" shrinkToFit="1"/>
    </xf>
    <xf numFmtId="177" fontId="6" fillId="3" borderId="1" xfId="0" applyNumberFormat="1" applyFont="1" applyFill="1" applyBorder="1" applyAlignment="1">
      <alignment horizontal="left" vertical="center" shrinkToFit="1"/>
    </xf>
    <xf numFmtId="178" fontId="8" fillId="0" borderId="1" xfId="0" applyNumberFormat="1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left" vertical="center" shrinkToFit="1"/>
    </xf>
    <xf numFmtId="0" fontId="14" fillId="0" borderId="0" xfId="0" applyFont="1" applyFill="1" applyBorder="1" applyAlignment="1">
      <alignment horizontal="left" vertical="center" shrinkToFit="1"/>
    </xf>
    <xf numFmtId="177" fontId="8" fillId="0" borderId="0" xfId="0" applyNumberFormat="1" applyFont="1" applyFill="1" applyBorder="1" applyAlignment="1">
      <alignment horizontal="left" vertical="center" shrinkToFit="1"/>
    </xf>
    <xf numFmtId="43" fontId="15" fillId="2" borderId="0" xfId="1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left" vertical="center" shrinkToFit="1"/>
    </xf>
    <xf numFmtId="178" fontId="8" fillId="0" borderId="0" xfId="0" applyNumberFormat="1" applyFont="1" applyFill="1" applyBorder="1" applyAlignment="1">
      <alignment horizontal="left" vertical="center" shrinkToFit="1"/>
    </xf>
    <xf numFmtId="0" fontId="9" fillId="0" borderId="0" xfId="0" applyFont="1" applyFill="1" applyBorder="1" applyAlignment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="250" zoomScaleNormal="250" topLeftCell="A22" workbookViewId="0">
      <selection activeCell="L3" sqref="L3:L33"/>
    </sheetView>
  </sheetViews>
  <sheetFormatPr defaultColWidth="9" defaultRowHeight="14"/>
  <cols>
    <col min="3" max="3" width="31.1818181818182" style="1" customWidth="1"/>
  </cols>
  <sheetData>
    <row r="1" spans="1:1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8"/>
      <c r="J1" s="8"/>
      <c r="K1" s="2" t="s">
        <v>7</v>
      </c>
      <c r="L1" s="5" t="s">
        <v>8</v>
      </c>
      <c r="M1" s="9" t="s">
        <v>9</v>
      </c>
      <c r="N1" s="9" t="s">
        <v>10</v>
      </c>
      <c r="O1" s="10" t="s">
        <v>11</v>
      </c>
    </row>
    <row r="2" ht="19" spans="1:15">
      <c r="A2" s="2"/>
      <c r="B2" s="2"/>
      <c r="C2" s="3"/>
      <c r="D2" s="4"/>
      <c r="E2" s="4"/>
      <c r="F2" s="5"/>
      <c r="G2" s="5" t="s">
        <v>12</v>
      </c>
      <c r="H2" s="2" t="s">
        <v>13</v>
      </c>
      <c r="I2" s="2" t="s">
        <v>14</v>
      </c>
      <c r="J2" s="2"/>
      <c r="K2" s="2"/>
      <c r="L2" s="5"/>
      <c r="M2" s="11"/>
      <c r="N2" s="11"/>
      <c r="O2" s="10"/>
    </row>
    <row r="3" spans="1:15">
      <c r="A3" s="12">
        <v>2024</v>
      </c>
      <c r="B3" s="13" t="s">
        <v>15</v>
      </c>
      <c r="C3" s="14" t="s">
        <v>16</v>
      </c>
      <c r="D3" s="15">
        <v>45444</v>
      </c>
      <c r="E3" s="15">
        <v>45672</v>
      </c>
      <c r="F3" s="16">
        <v>552</v>
      </c>
      <c r="G3" s="17">
        <f t="shared" ref="G3:G12" si="0">SUM(H3:N3)</f>
        <v>627.2</v>
      </c>
      <c r="H3" s="18"/>
      <c r="I3" s="19">
        <v>621.2</v>
      </c>
      <c r="J3" s="19"/>
      <c r="K3" s="19" t="s">
        <v>17</v>
      </c>
      <c r="L3" s="19">
        <v>6</v>
      </c>
      <c r="M3" s="19" t="s">
        <v>18</v>
      </c>
      <c r="N3" s="20" t="s">
        <v>19</v>
      </c>
      <c r="O3" s="19"/>
    </row>
    <row r="4" spans="1:15">
      <c r="A4" s="21"/>
      <c r="B4" s="13" t="s">
        <v>20</v>
      </c>
      <c r="C4" s="22" t="s">
        <v>21</v>
      </c>
      <c r="D4" s="15">
        <v>45444</v>
      </c>
      <c r="E4" s="15">
        <v>45748</v>
      </c>
      <c r="F4" s="23">
        <v>707</v>
      </c>
      <c r="G4" s="17">
        <f t="shared" si="0"/>
        <v>716.31</v>
      </c>
      <c r="H4" s="18"/>
      <c r="I4" s="19">
        <v>709.31</v>
      </c>
      <c r="J4" s="19"/>
      <c r="K4" s="19" t="s">
        <v>17</v>
      </c>
      <c r="L4" s="19">
        <v>7</v>
      </c>
      <c r="M4" s="19" t="s">
        <v>18</v>
      </c>
      <c r="N4" s="20" t="s">
        <v>19</v>
      </c>
      <c r="O4" s="19"/>
    </row>
    <row r="5" spans="1:15">
      <c r="A5" s="21"/>
      <c r="B5" s="13" t="s">
        <v>22</v>
      </c>
      <c r="C5" s="22" t="s">
        <v>23</v>
      </c>
      <c r="D5" s="15">
        <v>45458</v>
      </c>
      <c r="E5" s="15">
        <v>45715</v>
      </c>
      <c r="F5" s="23">
        <v>554</v>
      </c>
      <c r="G5" s="17">
        <f t="shared" si="0"/>
        <v>733.35</v>
      </c>
      <c r="H5" s="18"/>
      <c r="I5" s="19">
        <v>722.35</v>
      </c>
      <c r="J5" s="19"/>
      <c r="K5" s="19" t="s">
        <v>24</v>
      </c>
      <c r="L5" s="19">
        <v>11</v>
      </c>
      <c r="M5" s="19" t="s">
        <v>18</v>
      </c>
      <c r="N5" s="20" t="s">
        <v>19</v>
      </c>
      <c r="O5" s="19"/>
    </row>
    <row r="6" spans="1:15">
      <c r="A6" s="21"/>
      <c r="B6" s="13" t="s">
        <v>25</v>
      </c>
      <c r="C6" s="22" t="s">
        <v>26</v>
      </c>
      <c r="D6" s="15">
        <v>45536</v>
      </c>
      <c r="E6" s="15">
        <v>46111</v>
      </c>
      <c r="F6" s="23">
        <v>1751</v>
      </c>
      <c r="G6" s="17">
        <f t="shared" si="0"/>
        <v>600.42</v>
      </c>
      <c r="H6" s="18"/>
      <c r="I6" s="19">
        <v>592.42</v>
      </c>
      <c r="J6" s="19"/>
      <c r="K6" s="19" t="s">
        <v>27</v>
      </c>
      <c r="L6" s="19">
        <v>8</v>
      </c>
      <c r="M6" s="19" t="s">
        <v>18</v>
      </c>
      <c r="N6" s="24" t="s">
        <v>19</v>
      </c>
      <c r="O6" s="19"/>
    </row>
    <row r="7" spans="1:15">
      <c r="A7" s="21"/>
      <c r="B7" s="13" t="s">
        <v>28</v>
      </c>
      <c r="C7" s="22" t="s">
        <v>29</v>
      </c>
      <c r="D7" s="15">
        <v>45536</v>
      </c>
      <c r="E7" s="15">
        <v>45980</v>
      </c>
      <c r="F7" s="23">
        <v>1888</v>
      </c>
      <c r="G7" s="17">
        <f t="shared" si="0"/>
        <v>567.93</v>
      </c>
      <c r="H7" s="18"/>
      <c r="I7" s="19">
        <v>558.93</v>
      </c>
      <c r="J7" s="19"/>
      <c r="K7" s="19" t="s">
        <v>30</v>
      </c>
      <c r="L7" s="19">
        <v>9</v>
      </c>
      <c r="M7" s="19" t="s">
        <v>18</v>
      </c>
      <c r="N7" s="24" t="s">
        <v>19</v>
      </c>
      <c r="O7" s="19"/>
    </row>
    <row r="8" spans="1:15">
      <c r="A8" s="21"/>
      <c r="B8" s="13" t="s">
        <v>31</v>
      </c>
      <c r="C8" s="22" t="s">
        <v>32</v>
      </c>
      <c r="D8" s="15">
        <v>45536</v>
      </c>
      <c r="E8" s="15">
        <v>46022</v>
      </c>
      <c r="F8" s="23">
        <v>1266</v>
      </c>
      <c r="G8" s="17">
        <f t="shared" si="0"/>
        <v>557.82</v>
      </c>
      <c r="H8" s="18"/>
      <c r="I8" s="19">
        <v>545.82</v>
      </c>
      <c r="J8" s="19"/>
      <c r="K8" s="19" t="s">
        <v>33</v>
      </c>
      <c r="L8" s="19">
        <v>12</v>
      </c>
      <c r="M8" s="19" t="s">
        <v>18</v>
      </c>
      <c r="N8" s="24" t="s">
        <v>19</v>
      </c>
      <c r="O8" s="19"/>
    </row>
    <row r="9" spans="1:15">
      <c r="A9" s="21"/>
      <c r="B9" s="13" t="s">
        <v>34</v>
      </c>
      <c r="C9" s="22" t="s">
        <v>35</v>
      </c>
      <c r="D9" s="15">
        <v>45597</v>
      </c>
      <c r="E9" s="15">
        <v>45991</v>
      </c>
      <c r="F9" s="23">
        <v>571</v>
      </c>
      <c r="G9" s="17">
        <f t="shared" si="0"/>
        <v>223.68</v>
      </c>
      <c r="H9" s="18"/>
      <c r="I9" s="19">
        <v>209.68</v>
      </c>
      <c r="J9" s="19"/>
      <c r="K9" s="19" t="s">
        <v>36</v>
      </c>
      <c r="L9" s="19">
        <v>14</v>
      </c>
      <c r="M9" s="19" t="s">
        <v>18</v>
      </c>
      <c r="N9" s="24" t="s">
        <v>19</v>
      </c>
      <c r="O9" s="19"/>
    </row>
    <row r="10" spans="1:15">
      <c r="A10" s="21"/>
      <c r="B10" s="13" t="s">
        <v>37</v>
      </c>
      <c r="C10" s="22" t="s">
        <v>38</v>
      </c>
      <c r="D10" s="15">
        <v>45536</v>
      </c>
      <c r="E10" s="15">
        <v>46053</v>
      </c>
      <c r="F10" s="23">
        <v>1607</v>
      </c>
      <c r="G10" s="17">
        <f t="shared" si="0"/>
        <v>754.44</v>
      </c>
      <c r="H10" s="18"/>
      <c r="I10" s="19">
        <v>746.44</v>
      </c>
      <c r="J10" s="19"/>
      <c r="K10" s="19" t="s">
        <v>39</v>
      </c>
      <c r="L10" s="19">
        <v>8</v>
      </c>
      <c r="M10" s="19" t="s">
        <v>18</v>
      </c>
      <c r="N10" s="24" t="s">
        <v>19</v>
      </c>
      <c r="O10" s="19"/>
    </row>
    <row r="11" spans="1:15">
      <c r="A11" s="21"/>
      <c r="B11" s="25" t="s">
        <v>40</v>
      </c>
      <c r="C11" s="22" t="s">
        <v>41</v>
      </c>
      <c r="D11" s="15">
        <v>45574</v>
      </c>
      <c r="E11" s="15">
        <v>46142</v>
      </c>
      <c r="F11" s="26">
        <v>1418</v>
      </c>
      <c r="G11" s="17">
        <f t="shared" si="0"/>
        <v>426.07</v>
      </c>
      <c r="H11" s="27"/>
      <c r="I11" s="18">
        <v>414.07</v>
      </c>
      <c r="J11" s="18"/>
      <c r="K11" s="18" t="s">
        <v>42</v>
      </c>
      <c r="L11" s="18">
        <v>12</v>
      </c>
      <c r="M11" s="19" t="s">
        <v>18</v>
      </c>
      <c r="N11" s="24" t="s">
        <v>19</v>
      </c>
      <c r="O11" s="19"/>
    </row>
    <row r="12" spans="1:15">
      <c r="A12" s="28"/>
      <c r="B12" s="13" t="s">
        <v>43</v>
      </c>
      <c r="C12" s="22" t="s">
        <v>44</v>
      </c>
      <c r="D12" s="15">
        <v>45597</v>
      </c>
      <c r="E12" s="15">
        <v>45991</v>
      </c>
      <c r="F12" s="23">
        <v>636</v>
      </c>
      <c r="G12" s="17">
        <f t="shared" si="0"/>
        <v>224.5</v>
      </c>
      <c r="H12" s="18"/>
      <c r="I12" s="29">
        <v>215.5</v>
      </c>
      <c r="J12" s="19"/>
      <c r="K12" s="19" t="s">
        <v>27</v>
      </c>
      <c r="L12" s="19">
        <v>9</v>
      </c>
      <c r="M12" s="19" t="s">
        <v>18</v>
      </c>
      <c r="N12" s="24" t="s">
        <v>19</v>
      </c>
      <c r="O12" s="19"/>
    </row>
    <row r="13" spans="1:15">
      <c r="A13" s="21">
        <v>2025</v>
      </c>
      <c r="B13" s="25" t="s">
        <v>45</v>
      </c>
      <c r="C13" s="22" t="s">
        <v>46</v>
      </c>
      <c r="D13" s="15">
        <v>45725</v>
      </c>
      <c r="E13" s="15">
        <v>46198</v>
      </c>
      <c r="F13" s="30"/>
      <c r="G13" s="17"/>
      <c r="H13" s="18"/>
      <c r="I13" s="29"/>
      <c r="J13" s="19"/>
      <c r="K13" s="19" t="s">
        <v>47</v>
      </c>
      <c r="L13" s="31">
        <v>17</v>
      </c>
      <c r="M13" s="24" t="s">
        <v>19</v>
      </c>
      <c r="N13" s="24" t="s">
        <v>19</v>
      </c>
      <c r="O13" s="31"/>
    </row>
    <row r="14" spans="1:15">
      <c r="A14" s="21"/>
      <c r="B14" s="25" t="s">
        <v>48</v>
      </c>
      <c r="C14" s="22" t="s">
        <v>49</v>
      </c>
      <c r="D14" s="15">
        <v>45839</v>
      </c>
      <c r="E14" s="15">
        <v>46387</v>
      </c>
      <c r="F14" s="30"/>
      <c r="G14" s="17"/>
      <c r="H14" s="18"/>
      <c r="I14" s="29"/>
      <c r="J14" s="19"/>
      <c r="K14" s="19" t="s">
        <v>50</v>
      </c>
      <c r="L14" s="31">
        <v>22</v>
      </c>
      <c r="M14" s="24" t="s">
        <v>19</v>
      </c>
      <c r="N14" s="24" t="s">
        <v>19</v>
      </c>
      <c r="O14" s="31"/>
    </row>
    <row r="15" spans="1:15">
      <c r="A15" s="21"/>
      <c r="B15" s="25" t="s">
        <v>51</v>
      </c>
      <c r="C15" s="22" t="s">
        <v>52</v>
      </c>
      <c r="D15" s="15">
        <v>45839</v>
      </c>
      <c r="E15" s="15">
        <v>46264</v>
      </c>
      <c r="F15" s="30"/>
      <c r="G15" s="17"/>
      <c r="H15" s="18"/>
      <c r="I15" s="29"/>
      <c r="J15" s="19"/>
      <c r="K15" s="19" t="s">
        <v>53</v>
      </c>
      <c r="L15" s="31">
        <v>14</v>
      </c>
      <c r="M15" s="24" t="s">
        <v>19</v>
      </c>
      <c r="N15" s="24" t="s">
        <v>19</v>
      </c>
      <c r="O15" s="31"/>
    </row>
    <row r="16" spans="1:15">
      <c r="A16" s="21"/>
      <c r="B16" s="25" t="s">
        <v>54</v>
      </c>
      <c r="C16" s="22" t="s">
        <v>55</v>
      </c>
      <c r="D16" s="15">
        <v>45839</v>
      </c>
      <c r="E16" s="15">
        <v>46022</v>
      </c>
      <c r="F16" s="30"/>
      <c r="G16" s="17"/>
      <c r="H16" s="18"/>
      <c r="I16" s="29"/>
      <c r="J16" s="19"/>
      <c r="K16" s="19" t="s">
        <v>56</v>
      </c>
      <c r="L16" s="31">
        <v>18</v>
      </c>
      <c r="M16" s="24" t="s">
        <v>19</v>
      </c>
      <c r="N16" s="24" t="s">
        <v>19</v>
      </c>
      <c r="O16" s="31"/>
    </row>
    <row r="17" spans="1:15">
      <c r="A17" s="21"/>
      <c r="B17" s="25" t="s">
        <v>57</v>
      </c>
      <c r="C17" s="32" t="s">
        <v>58</v>
      </c>
      <c r="D17" s="15">
        <v>45734</v>
      </c>
      <c r="E17" s="15">
        <v>46172</v>
      </c>
      <c r="F17" s="30"/>
      <c r="G17" s="17"/>
      <c r="H17" s="18"/>
      <c r="I17" s="29"/>
      <c r="J17" s="19"/>
      <c r="K17" s="19" t="s">
        <v>59</v>
      </c>
      <c r="L17" s="31">
        <v>20</v>
      </c>
      <c r="M17" s="24" t="s">
        <v>19</v>
      </c>
      <c r="N17" s="24" t="s">
        <v>19</v>
      </c>
      <c r="O17" s="31"/>
    </row>
    <row r="18" spans="1:15">
      <c r="A18" s="21"/>
      <c r="B18" s="25" t="s">
        <v>60</v>
      </c>
      <c r="C18" s="32" t="s">
        <v>61</v>
      </c>
      <c r="D18" s="15">
        <v>45658</v>
      </c>
      <c r="E18" s="33">
        <v>46446</v>
      </c>
      <c r="F18" s="30"/>
      <c r="G18" s="17"/>
      <c r="H18" s="18"/>
      <c r="I18" s="29"/>
      <c r="J18" s="19"/>
      <c r="K18" s="19" t="s">
        <v>62</v>
      </c>
      <c r="L18" s="31">
        <v>25</v>
      </c>
      <c r="M18" s="24" t="s">
        <v>19</v>
      </c>
      <c r="N18" s="24" t="s">
        <v>19</v>
      </c>
      <c r="O18" s="31"/>
    </row>
    <row r="19" spans="1:15">
      <c r="A19" s="21"/>
      <c r="B19" s="25" t="s">
        <v>63</v>
      </c>
      <c r="C19" s="22" t="s">
        <v>64</v>
      </c>
      <c r="D19" s="15">
        <v>45748</v>
      </c>
      <c r="E19" s="15">
        <v>46052</v>
      </c>
      <c r="F19" s="30"/>
      <c r="G19" s="17"/>
      <c r="H19" s="18"/>
      <c r="I19" s="29"/>
      <c r="J19" s="19"/>
      <c r="K19" s="19" t="s">
        <v>65</v>
      </c>
      <c r="L19" s="31">
        <v>19</v>
      </c>
      <c r="M19" s="24" t="s">
        <v>19</v>
      </c>
      <c r="N19" s="24" t="s">
        <v>19</v>
      </c>
      <c r="O19" s="31"/>
    </row>
    <row r="20" spans="1:15">
      <c r="A20" s="21"/>
      <c r="B20" s="25" t="s">
        <v>66</v>
      </c>
      <c r="C20" s="22" t="s">
        <v>67</v>
      </c>
      <c r="D20" s="15">
        <v>45839</v>
      </c>
      <c r="E20" s="15">
        <v>46203</v>
      </c>
      <c r="F20" s="30"/>
      <c r="G20" s="17"/>
      <c r="H20" s="18"/>
      <c r="I20" s="29"/>
      <c r="J20" s="19"/>
      <c r="K20" s="19" t="s">
        <v>65</v>
      </c>
      <c r="L20" s="31">
        <v>16</v>
      </c>
      <c r="M20" s="24" t="s">
        <v>19</v>
      </c>
      <c r="N20" s="24" t="s">
        <v>19</v>
      </c>
      <c r="O20" s="31"/>
    </row>
    <row r="21" spans="1:15">
      <c r="A21" s="21"/>
      <c r="B21" s="25" t="s">
        <v>68</v>
      </c>
      <c r="C21" s="22" t="s">
        <v>69</v>
      </c>
      <c r="D21" s="15">
        <v>45748</v>
      </c>
      <c r="E21" s="15">
        <v>46172</v>
      </c>
      <c r="F21" s="30"/>
      <c r="G21" s="17"/>
      <c r="H21" s="18"/>
      <c r="I21" s="29"/>
      <c r="J21" s="19"/>
      <c r="K21" s="19" t="s">
        <v>70</v>
      </c>
      <c r="L21" s="31">
        <v>20</v>
      </c>
      <c r="M21" s="24" t="s">
        <v>19</v>
      </c>
      <c r="N21" s="24" t="s">
        <v>19</v>
      </c>
      <c r="O21" s="31"/>
    </row>
    <row r="22" spans="1:15">
      <c r="A22" s="21"/>
      <c r="B22" s="25" t="s">
        <v>71</v>
      </c>
      <c r="C22" s="22" t="s">
        <v>72</v>
      </c>
      <c r="D22" s="15">
        <v>45839</v>
      </c>
      <c r="E22" s="15">
        <v>46295</v>
      </c>
      <c r="F22" s="30"/>
      <c r="G22" s="17"/>
      <c r="H22" s="18"/>
      <c r="I22" s="29"/>
      <c r="J22" s="19"/>
      <c r="K22" s="19" t="s">
        <v>24</v>
      </c>
      <c r="L22" s="31">
        <v>17</v>
      </c>
      <c r="M22" s="24" t="s">
        <v>19</v>
      </c>
      <c r="N22" s="24" t="s">
        <v>19</v>
      </c>
      <c r="O22" s="31"/>
    </row>
    <row r="23" spans="1:15">
      <c r="A23" s="21"/>
      <c r="B23" s="25" t="s">
        <v>73</v>
      </c>
      <c r="C23" s="22" t="s">
        <v>74</v>
      </c>
      <c r="D23" s="15">
        <v>45658</v>
      </c>
      <c r="E23" s="15">
        <v>46140</v>
      </c>
      <c r="F23" s="30"/>
      <c r="G23" s="17"/>
      <c r="H23" s="18"/>
      <c r="I23" s="29"/>
      <c r="J23" s="19"/>
      <c r="K23" s="19" t="s">
        <v>75</v>
      </c>
      <c r="L23" s="31">
        <v>25</v>
      </c>
      <c r="M23" s="24" t="s">
        <v>19</v>
      </c>
      <c r="N23" s="24" t="s">
        <v>19</v>
      </c>
      <c r="O23" s="31"/>
    </row>
    <row r="24" spans="1:15">
      <c r="A24" s="21"/>
      <c r="B24" s="25" t="s">
        <v>76</v>
      </c>
      <c r="C24" s="22" t="s">
        <v>77</v>
      </c>
      <c r="D24" s="15">
        <v>45658</v>
      </c>
      <c r="E24" s="15">
        <v>46112</v>
      </c>
      <c r="F24" s="30"/>
      <c r="G24" s="17"/>
      <c r="H24" s="18"/>
      <c r="I24" s="29"/>
      <c r="J24" s="19"/>
      <c r="K24" s="19" t="s">
        <v>75</v>
      </c>
      <c r="L24" s="31">
        <v>24</v>
      </c>
      <c r="M24" s="24" t="s">
        <v>19</v>
      </c>
      <c r="N24" s="24" t="s">
        <v>19</v>
      </c>
      <c r="O24" s="31"/>
    </row>
    <row r="25" spans="1:15">
      <c r="A25" s="21"/>
      <c r="B25" s="25" t="s">
        <v>78</v>
      </c>
      <c r="C25" s="22" t="s">
        <v>79</v>
      </c>
      <c r="D25" s="15">
        <v>45940</v>
      </c>
      <c r="E25" s="15">
        <v>46356</v>
      </c>
      <c r="F25" s="30"/>
      <c r="G25" s="17"/>
      <c r="H25" s="18"/>
      <c r="I25" s="29"/>
      <c r="J25" s="19"/>
      <c r="K25" s="19" t="s">
        <v>70</v>
      </c>
      <c r="L25" s="31">
        <v>15</v>
      </c>
      <c r="M25" s="24" t="s">
        <v>19</v>
      </c>
      <c r="N25" s="24" t="s">
        <v>19</v>
      </c>
      <c r="O25" s="31"/>
    </row>
    <row r="26" spans="1:15">
      <c r="A26" s="21"/>
      <c r="B26" s="25" t="s">
        <v>80</v>
      </c>
      <c r="C26" s="22" t="s">
        <v>81</v>
      </c>
      <c r="D26" s="15">
        <v>45901</v>
      </c>
      <c r="E26" s="15">
        <v>46325</v>
      </c>
      <c r="F26" s="30"/>
      <c r="G26" s="17"/>
      <c r="H26" s="18"/>
      <c r="I26" s="29"/>
      <c r="J26" s="19"/>
      <c r="K26" s="19" t="s">
        <v>24</v>
      </c>
      <c r="L26" s="31">
        <v>16</v>
      </c>
      <c r="M26" s="24" t="s">
        <v>19</v>
      </c>
      <c r="N26" s="24" t="s">
        <v>19</v>
      </c>
      <c r="O26" s="31"/>
    </row>
    <row r="27" spans="1:15">
      <c r="A27" s="21"/>
      <c r="B27" s="25" t="s">
        <v>82</v>
      </c>
      <c r="C27" s="22" t="s">
        <v>83</v>
      </c>
      <c r="D27" s="15">
        <v>45663</v>
      </c>
      <c r="E27" s="15">
        <v>46078</v>
      </c>
      <c r="F27" s="30"/>
      <c r="G27" s="17"/>
      <c r="H27" s="18"/>
      <c r="I27" s="29"/>
      <c r="J27" s="19"/>
      <c r="K27" s="19" t="s">
        <v>84</v>
      </c>
      <c r="L27" s="31">
        <v>24</v>
      </c>
      <c r="M27" s="24" t="s">
        <v>19</v>
      </c>
      <c r="N27" s="24" t="s">
        <v>19</v>
      </c>
      <c r="O27" s="31"/>
    </row>
    <row r="28" spans="1:15">
      <c r="A28" s="21"/>
      <c r="B28" s="25" t="s">
        <v>85</v>
      </c>
      <c r="C28" s="32" t="s">
        <v>86</v>
      </c>
      <c r="D28" s="15">
        <v>45689</v>
      </c>
      <c r="E28" s="15">
        <v>46112</v>
      </c>
      <c r="F28" s="30"/>
      <c r="G28" s="17"/>
      <c r="H28" s="17"/>
      <c r="I28" s="17"/>
      <c r="J28" s="19"/>
      <c r="K28" s="18" t="s">
        <v>17</v>
      </c>
      <c r="L28" s="18">
        <v>15</v>
      </c>
      <c r="M28" s="24" t="s">
        <v>19</v>
      </c>
      <c r="N28" s="24" t="s">
        <v>19</v>
      </c>
      <c r="O28" s="19"/>
    </row>
    <row r="29" spans="1:15">
      <c r="A29" s="21"/>
      <c r="B29" s="25" t="s">
        <v>87</v>
      </c>
      <c r="C29" s="22" t="s">
        <v>88</v>
      </c>
      <c r="D29" s="15">
        <v>45736</v>
      </c>
      <c r="E29" s="15">
        <v>46287</v>
      </c>
      <c r="F29" s="30"/>
      <c r="G29" s="17"/>
      <c r="H29" s="27"/>
      <c r="I29" s="34"/>
      <c r="J29" s="27"/>
      <c r="K29" s="18" t="s">
        <v>89</v>
      </c>
      <c r="L29" s="18">
        <v>15</v>
      </c>
      <c r="M29" s="24" t="s">
        <v>19</v>
      </c>
      <c r="N29" s="24" t="s">
        <v>19</v>
      </c>
      <c r="O29" s="19"/>
    </row>
    <row r="30" spans="1:15">
      <c r="A30" s="21"/>
      <c r="B30" s="25" t="s">
        <v>90</v>
      </c>
      <c r="C30" s="22" t="s">
        <v>91</v>
      </c>
      <c r="D30" s="15">
        <v>46008</v>
      </c>
      <c r="E30" s="15">
        <v>46188</v>
      </c>
      <c r="F30" s="30"/>
      <c r="G30" s="17"/>
      <c r="H30" s="27"/>
      <c r="I30" s="34"/>
      <c r="J30" s="27"/>
      <c r="K30" s="18" t="s">
        <v>92</v>
      </c>
      <c r="L30" s="18">
        <v>16</v>
      </c>
      <c r="M30" s="24" t="s">
        <v>19</v>
      </c>
      <c r="N30" s="24" t="s">
        <v>19</v>
      </c>
      <c r="O30" s="19"/>
    </row>
    <row r="31" spans="1:15">
      <c r="A31" s="21"/>
      <c r="B31" s="25" t="s">
        <v>93</v>
      </c>
      <c r="C31" s="22" t="s">
        <v>94</v>
      </c>
      <c r="D31" s="15">
        <v>45920</v>
      </c>
      <c r="E31" s="15">
        <v>46183</v>
      </c>
      <c r="F31" s="30"/>
      <c r="G31" s="17"/>
      <c r="H31" s="27"/>
      <c r="I31" s="34"/>
      <c r="J31" s="27"/>
      <c r="K31" s="18" t="s">
        <v>17</v>
      </c>
      <c r="L31" s="18">
        <v>14</v>
      </c>
      <c r="M31" s="24" t="s">
        <v>19</v>
      </c>
      <c r="N31" s="24" t="s">
        <v>19</v>
      </c>
      <c r="O31" s="19"/>
    </row>
    <row r="32" spans="1:15">
      <c r="A32" s="28"/>
      <c r="B32" s="25" t="s">
        <v>95</v>
      </c>
      <c r="C32" s="22" t="s">
        <v>96</v>
      </c>
      <c r="D32" s="33">
        <v>45870</v>
      </c>
      <c r="E32" s="33">
        <v>46234</v>
      </c>
      <c r="F32" s="30"/>
      <c r="G32" s="17"/>
      <c r="H32" s="27"/>
      <c r="I32" s="34"/>
      <c r="J32" s="27"/>
      <c r="K32" s="18" t="s">
        <v>97</v>
      </c>
      <c r="L32" s="18">
        <v>14</v>
      </c>
      <c r="M32" s="24" t="s">
        <v>19</v>
      </c>
      <c r="N32" s="24" t="s">
        <v>19</v>
      </c>
      <c r="O32" s="19"/>
    </row>
    <row r="33" spans="1:15">
      <c r="A33" s="35"/>
      <c r="B33" s="36" t="s">
        <v>85</v>
      </c>
      <c r="C33" s="37" t="s">
        <v>98</v>
      </c>
      <c r="D33" s="38">
        <v>45778</v>
      </c>
      <c r="E33" s="38">
        <v>45961</v>
      </c>
      <c r="F33" s="39"/>
      <c r="G33" s="40"/>
      <c r="H33" s="41"/>
      <c r="I33" s="42"/>
      <c r="J33" s="41"/>
      <c r="K33" s="41" t="s">
        <v>99</v>
      </c>
      <c r="L33" s="41">
        <v>6</v>
      </c>
      <c r="M33" s="40" t="s">
        <v>19</v>
      </c>
      <c r="N33" s="40" t="s">
        <v>19</v>
      </c>
      <c r="O33" s="43"/>
    </row>
    <row r="34" spans="1:15">
      <c r="A34" s="35"/>
      <c r="B34" s="36" t="s">
        <v>87</v>
      </c>
      <c r="C34" s="37" t="s">
        <v>100</v>
      </c>
      <c r="D34" s="38">
        <v>45670</v>
      </c>
      <c r="E34" s="38">
        <v>46021</v>
      </c>
      <c r="F34" s="39"/>
      <c r="G34" s="40"/>
      <c r="H34" s="41"/>
      <c r="I34" s="42"/>
      <c r="J34" s="41"/>
      <c r="K34" s="41" t="s">
        <v>101</v>
      </c>
      <c r="L34" s="41">
        <v>11</v>
      </c>
      <c r="M34" s="40" t="s">
        <v>19</v>
      </c>
      <c r="N34" s="40" t="s">
        <v>19</v>
      </c>
      <c r="O34" s="43"/>
    </row>
  </sheetData>
  <mergeCells count="12">
    <mergeCell ref="A1:A2"/>
    <mergeCell ref="A13:A32"/>
    <mergeCell ref="B1:B2"/>
    <mergeCell ref="C1:C2"/>
    <mergeCell ref="D1:D2"/>
    <mergeCell ref="E1:E2"/>
    <mergeCell ref="F1:F2"/>
    <mergeCell ref="K1:K2"/>
    <mergeCell ref="L1:L2"/>
    <mergeCell ref="M1:M2"/>
    <mergeCell ref="N1:N2"/>
    <mergeCell ref="O1:O2"/>
  </mergeCells>
  <conditionalFormatting sqref="H3:J3">
    <cfRule type="duplicateValues" dxfId="0" priority="27"/>
  </conditionalFormatting>
  <conditionalFormatting sqref="H4:J4">
    <cfRule type="duplicateValues" dxfId="0" priority="25"/>
  </conditionalFormatting>
  <conditionalFormatting sqref="H5:J5">
    <cfRule type="duplicateValues" dxfId="0" priority="26"/>
  </conditionalFormatting>
  <conditionalFormatting sqref="H6:J6">
    <cfRule type="duplicateValues" dxfId="0" priority="24"/>
  </conditionalFormatting>
  <conditionalFormatting sqref="H7:J7">
    <cfRule type="duplicateValues" dxfId="0" priority="23"/>
  </conditionalFormatting>
  <conditionalFormatting sqref="H8:J8">
    <cfRule type="duplicateValues" dxfId="0" priority="22"/>
  </conditionalFormatting>
  <conditionalFormatting sqref="H9:J9">
    <cfRule type="duplicateValues" dxfId="0" priority="21"/>
  </conditionalFormatting>
  <conditionalFormatting sqref="H10:J10">
    <cfRule type="duplicateValues" dxfId="0" priority="20"/>
  </conditionalFormatting>
  <conditionalFormatting sqref="H11:J11">
    <cfRule type="duplicateValues" dxfId="0" priority="19"/>
  </conditionalFormatting>
  <conditionalFormatting sqref="H12:J12">
    <cfRule type="duplicateValues" dxfId="0" priority="18"/>
  </conditionalFormatting>
  <conditionalFormatting sqref="H13:J13">
    <cfRule type="duplicateValues" dxfId="0" priority="17"/>
  </conditionalFormatting>
  <conditionalFormatting sqref="H14:J14">
    <cfRule type="duplicateValues" dxfId="0" priority="16"/>
  </conditionalFormatting>
  <conditionalFormatting sqref="H15:J15">
    <cfRule type="duplicateValues" dxfId="0" priority="15"/>
  </conditionalFormatting>
  <conditionalFormatting sqref="H16:J16">
    <cfRule type="duplicateValues" dxfId="0" priority="14"/>
  </conditionalFormatting>
  <conditionalFormatting sqref="H17:J17">
    <cfRule type="duplicateValues" dxfId="0" priority="13"/>
  </conditionalFormatting>
  <conditionalFormatting sqref="H18:J18">
    <cfRule type="duplicateValues" dxfId="0" priority="12"/>
  </conditionalFormatting>
  <conditionalFormatting sqref="H19:J19">
    <cfRule type="duplicateValues" dxfId="0" priority="11"/>
  </conditionalFormatting>
  <conditionalFormatting sqref="H20:J20">
    <cfRule type="duplicateValues" dxfId="0" priority="10"/>
  </conditionalFormatting>
  <conditionalFormatting sqref="H21:J21">
    <cfRule type="duplicateValues" dxfId="0" priority="9"/>
  </conditionalFormatting>
  <conditionalFormatting sqref="H22:J22">
    <cfRule type="duplicateValues" dxfId="0" priority="8"/>
  </conditionalFormatting>
  <conditionalFormatting sqref="H23:J23">
    <cfRule type="duplicateValues" dxfId="0" priority="7"/>
  </conditionalFormatting>
  <conditionalFormatting sqref="H24:J24">
    <cfRule type="duplicateValues" dxfId="0" priority="6"/>
  </conditionalFormatting>
  <conditionalFormatting sqref="H25:J25">
    <cfRule type="duplicateValues" dxfId="0" priority="5"/>
  </conditionalFormatting>
  <conditionalFormatting sqref="H26:J26">
    <cfRule type="duplicateValues" dxfId="0" priority="4"/>
  </conditionalFormatting>
  <conditionalFormatting sqref="H27:J27">
    <cfRule type="duplicateValues" dxfId="0" priority="3"/>
  </conditionalFormatting>
  <conditionalFormatting sqref="H33:J33">
    <cfRule type="duplicateValues" dxfId="0" priority="2"/>
  </conditionalFormatting>
  <conditionalFormatting sqref="H34:J3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Wreck</cp:lastModifiedBy>
  <dcterms:created xsi:type="dcterms:W3CDTF">2023-05-12T11:15:00Z</dcterms:created>
  <dcterms:modified xsi:type="dcterms:W3CDTF">2026-03-25T03:16:07Z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AF0100C8687543ACBC456AC72B33A88A_12</vt:lpwstr>
  </property>
  <property fmtid="{D5CDD505-2E9C-101B-9397-08002B2CF9AE}" pid="4" name="CalculationRule">
    <vt:i4>0</vt:i4>
  </property>
</Properties>
</file>